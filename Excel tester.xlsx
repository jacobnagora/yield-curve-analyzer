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kantardjian/Desktop/yield-curve-analyzer/"/>
    </mc:Choice>
  </mc:AlternateContent>
  <xr:revisionPtr revIDLastSave="0" documentId="13_ncr:1_{5CC9EBE6-1BA3-E741-8244-A20D61E65DE4}" xr6:coauthVersionLast="47" xr6:coauthVersionMax="47" xr10:uidLastSave="{00000000-0000-0000-0000-000000000000}"/>
  <bookViews>
    <workbookView xWindow="0" yWindow="660" windowWidth="29400" windowHeight="16940" xr2:uid="{A28DB794-6771-3841-A121-910A7CFF0B87}"/>
  </bookViews>
  <sheets>
    <sheet name="te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1" i="1" l="1"/>
  <c r="G25" i="1"/>
  <c r="F24" i="1"/>
  <c r="D15" i="1"/>
  <c r="D16" i="1" s="1"/>
  <c r="F23" i="1"/>
  <c r="F22" i="1"/>
  <c r="F21" i="1"/>
  <c r="F20" i="1"/>
  <c r="F19" i="1"/>
  <c r="F18" i="1"/>
  <c r="F17" i="1"/>
  <c r="F16" i="1"/>
  <c r="F15" i="1"/>
  <c r="E23" i="1"/>
  <c r="E22" i="1"/>
  <c r="B2" i="1"/>
  <c r="D17" i="1" l="1"/>
  <c r="G15" i="1"/>
  <c r="G16" i="1" l="1"/>
  <c r="D18" i="1"/>
  <c r="G17" i="1"/>
  <c r="D19" i="1" l="1"/>
  <c r="E18" i="1"/>
  <c r="G18" i="1" s="1"/>
  <c r="D20" i="1" l="1"/>
  <c r="G19" i="1"/>
  <c r="D21" i="1" l="1"/>
  <c r="E20" i="1"/>
  <c r="G20" i="1" s="1"/>
  <c r="D22" i="1" l="1"/>
  <c r="G21" i="1"/>
  <c r="G22" i="1" l="1"/>
  <c r="D23" i="1"/>
  <c r="D24" i="1" l="1"/>
  <c r="G23" i="1"/>
  <c r="G24" i="1" l="1"/>
</calcChain>
</file>

<file path=xl/sharedStrings.xml><?xml version="1.0" encoding="utf-8"?>
<sst xmlns="http://schemas.openxmlformats.org/spreadsheetml/2006/main" count="18" uniqueCount="16">
  <si>
    <t>Tenor</t>
  </si>
  <si>
    <t>Cash flows</t>
  </si>
  <si>
    <t>Coupon</t>
  </si>
  <si>
    <t>FV</t>
  </si>
  <si>
    <t>PV</t>
  </si>
  <si>
    <t>Time</t>
  </si>
  <si>
    <t>Spot</t>
  </si>
  <si>
    <t>2-year</t>
  </si>
  <si>
    <t>5-year</t>
  </si>
  <si>
    <t>10-year</t>
  </si>
  <si>
    <t>shocks:</t>
  </si>
  <si>
    <t>PV0</t>
  </si>
  <si>
    <t>PV+</t>
  </si>
  <si>
    <t>PV-</t>
  </si>
  <si>
    <t>Duration</t>
  </si>
  <si>
    <t>2yr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</si>
</sst>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_);_(* \(#,##0.0000\);_(* &quot;-&quot;??_);_(@_)"/>
    <numFmt numFmtId="165" formatCode="0.000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164" fontId="0" fillId="0" borderId="0" xfId="1" applyNumberFormat="1" applyFont="1"/>
    <xf numFmtId="0" fontId="2" fillId="0" borderId="0" xfId="0" applyFont="1"/>
    <xf numFmtId="9" fontId="0" fillId="0" borderId="0" xfId="0" applyNumberFormat="1"/>
    <xf numFmtId="4" fontId="0" fillId="0" borderId="0" xfId="0" applyNumberFormat="1"/>
    <xf numFmtId="4" fontId="0" fillId="0" borderId="0" xfId="1" applyNumberFormat="1" applyFont="1"/>
    <xf numFmtId="0" fontId="0" fillId="0" borderId="0" xfId="1" applyNumberFormat="1" applyFont="1"/>
    <xf numFmtId="165" fontId="0" fillId="0" borderId="0" xfId="2" applyNumberFormat="1" applyFont="1"/>
    <xf numFmtId="4" fontId="3" fillId="0" borderId="0" xfId="0" applyNumberFormat="1" applyFont="1"/>
    <xf numFmtId="164" fontId="2" fillId="2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5845-B4BA-EB4E-8D62-0A731B5B5776}">
  <dimension ref="A1:N25"/>
  <sheetViews>
    <sheetView tabSelected="1" topLeftCell="A4" zoomScale="162" workbookViewId="0">
      <selection activeCell="K10" sqref="K10"/>
    </sheetView>
  </sheetViews>
  <sheetFormatPr baseColWidth="10" defaultRowHeight="16" x14ac:dyDescent="0.2"/>
  <cols>
    <col min="1" max="1" width="7.5" bestFit="1" customWidth="1"/>
    <col min="2" max="2" width="7" bestFit="1" customWidth="1"/>
    <col min="3" max="4" width="8" bestFit="1" customWidth="1"/>
    <col min="5" max="5" width="8.1640625" bestFit="1" customWidth="1"/>
    <col min="6" max="6" width="9.83203125" bestFit="1" customWidth="1"/>
    <col min="7" max="7" width="8.1640625" bestFit="1" customWidth="1"/>
    <col min="8" max="9" width="8" bestFit="1" customWidth="1"/>
    <col min="10" max="10" width="5.6640625" bestFit="1" customWidth="1"/>
    <col min="11" max="11" width="12.33203125" bestFit="1" customWidth="1"/>
    <col min="12" max="12" width="8.33203125" bestFit="1" customWidth="1"/>
    <col min="13" max="13" width="5.6640625" bestFit="1" customWidth="1"/>
    <col min="14" max="14" width="8.1640625" bestFit="1" customWidth="1"/>
  </cols>
  <sheetData>
    <row r="1" spans="1:14" x14ac:dyDescent="0.2">
      <c r="B1" s="3" t="s">
        <v>0</v>
      </c>
      <c r="C1" s="3" t="s">
        <v>10</v>
      </c>
      <c r="D1" s="3" t="s">
        <v>7</v>
      </c>
      <c r="E1" s="3" t="s">
        <v>8</v>
      </c>
      <c r="F1" s="3" t="s">
        <v>9</v>
      </c>
    </row>
    <row r="2" spans="1:14" x14ac:dyDescent="0.2">
      <c r="B2" s="1">
        <f>1/12</f>
        <v>8.3333333333333329E-2</v>
      </c>
      <c r="C2" s="2">
        <v>4.4999999999999998E-2</v>
      </c>
      <c r="D2" s="2">
        <v>4.4999999999999998E-2</v>
      </c>
      <c r="E2" s="2">
        <v>4.4999999999999998E-2</v>
      </c>
      <c r="F2" s="2">
        <v>4.4999999999999998E-2</v>
      </c>
    </row>
    <row r="3" spans="1:14" x14ac:dyDescent="0.2">
      <c r="B3" s="1">
        <v>0.25</v>
      </c>
      <c r="C3" s="2">
        <v>4.5499999999999999E-2</v>
      </c>
      <c r="D3" s="2">
        <v>4.5499999999999999E-2</v>
      </c>
      <c r="E3" s="2">
        <v>4.5499999999999999E-2</v>
      </c>
      <c r="F3" s="2">
        <v>4.5499999999999999E-2</v>
      </c>
    </row>
    <row r="4" spans="1:14" x14ac:dyDescent="0.2">
      <c r="B4" s="1">
        <v>0.5</v>
      </c>
      <c r="C4" s="2">
        <v>4.5999999999999999E-2</v>
      </c>
      <c r="D4" s="2">
        <v>4.5999999999999999E-2</v>
      </c>
      <c r="E4" s="2">
        <v>4.5999999999999999E-2</v>
      </c>
      <c r="F4" s="2">
        <v>4.5999999999999999E-2</v>
      </c>
    </row>
    <row r="5" spans="1:14" x14ac:dyDescent="0.2">
      <c r="B5" s="1">
        <v>1</v>
      </c>
      <c r="C5" s="2">
        <v>4.65E-2</v>
      </c>
      <c r="D5" s="2">
        <v>4.65E-2</v>
      </c>
      <c r="E5" s="2">
        <v>4.65E-2</v>
      </c>
      <c r="F5" s="2">
        <v>4.65E-2</v>
      </c>
    </row>
    <row r="6" spans="1:14" x14ac:dyDescent="0.2">
      <c r="B6" s="1">
        <v>2</v>
      </c>
      <c r="C6" s="2">
        <v>4.7E-2</v>
      </c>
      <c r="D6" s="10">
        <v>5.7000000000000002E-2</v>
      </c>
      <c r="E6" s="2">
        <v>4.7E-2</v>
      </c>
      <c r="F6" s="2">
        <v>4.7E-2</v>
      </c>
    </row>
    <row r="7" spans="1:14" x14ac:dyDescent="0.2">
      <c r="B7" s="1">
        <v>3</v>
      </c>
      <c r="C7" s="2">
        <v>4.7500000000000001E-2</v>
      </c>
      <c r="D7" s="2">
        <v>4.7500000000000001E-2</v>
      </c>
      <c r="E7" s="2">
        <v>4.7500000000000001E-2</v>
      </c>
      <c r="F7" s="2">
        <v>4.7500000000000001E-2</v>
      </c>
    </row>
    <row r="8" spans="1:14" x14ac:dyDescent="0.2">
      <c r="B8" s="1">
        <v>5</v>
      </c>
      <c r="C8" s="2">
        <v>4.8000000000000001E-2</v>
      </c>
      <c r="D8" s="2">
        <v>4.8000000000000001E-2</v>
      </c>
      <c r="E8" s="10">
        <v>5.8000000000000003E-2</v>
      </c>
      <c r="F8" s="2">
        <v>4.8000000000000001E-2</v>
      </c>
    </row>
    <row r="9" spans="1:14" x14ac:dyDescent="0.2">
      <c r="B9" s="1">
        <v>7</v>
      </c>
      <c r="C9" s="2">
        <v>4.8500000000000001E-2</v>
      </c>
      <c r="D9" s="2">
        <v>4.8500000000000001E-2</v>
      </c>
      <c r="E9" s="2">
        <v>4.8500000000000001E-2</v>
      </c>
      <c r="F9" s="2">
        <v>4.8500000000000001E-2</v>
      </c>
    </row>
    <row r="10" spans="1:14" x14ac:dyDescent="0.2">
      <c r="B10" s="1">
        <v>10</v>
      </c>
      <c r="C10" s="2">
        <v>4.9000000000000002E-2</v>
      </c>
      <c r="D10" s="2">
        <v>4.9000000000000002E-2</v>
      </c>
      <c r="E10" s="2">
        <v>4.9000000000000002E-2</v>
      </c>
      <c r="F10" s="10">
        <v>5.8999999999999997E-2</v>
      </c>
    </row>
    <row r="11" spans="1:14" x14ac:dyDescent="0.2">
      <c r="B11" s="1">
        <v>20</v>
      </c>
      <c r="C11" s="2">
        <v>0.05</v>
      </c>
      <c r="D11" s="2">
        <v>0.05</v>
      </c>
      <c r="E11" s="2">
        <v>0.05</v>
      </c>
      <c r="F11" s="2">
        <v>0.05</v>
      </c>
    </row>
    <row r="12" spans="1:14" x14ac:dyDescent="0.2">
      <c r="B12" s="1">
        <v>30</v>
      </c>
      <c r="C12" s="2">
        <v>5.0999999999999997E-2</v>
      </c>
      <c r="D12" s="2">
        <v>5.0999999999999997E-2</v>
      </c>
      <c r="E12" s="2">
        <v>5.0999999999999997E-2</v>
      </c>
      <c r="F12" s="2">
        <v>5.0999999999999997E-2</v>
      </c>
    </row>
    <row r="14" spans="1:14" x14ac:dyDescent="0.2">
      <c r="D14" t="s">
        <v>5</v>
      </c>
      <c r="E14" t="s">
        <v>6</v>
      </c>
      <c r="F14" t="s">
        <v>1</v>
      </c>
      <c r="G14" t="s">
        <v>4</v>
      </c>
    </row>
    <row r="15" spans="1:14" x14ac:dyDescent="0.2">
      <c r="D15" s="7">
        <f>IF(MOD(B17,1)=0,1,MOD(B17,1))</f>
        <v>1</v>
      </c>
      <c r="E15" s="8">
        <v>4.65E-2</v>
      </c>
      <c r="F15" s="5">
        <f t="shared" ref="F15:F23" si="0">$B$16*$B$18</f>
        <v>50</v>
      </c>
      <c r="G15" s="6">
        <f t="shared" ref="G15:G24" si="1">F15/(1+E15)^D15</f>
        <v>47.778308647873864</v>
      </c>
      <c r="I15" s="2"/>
      <c r="J15" s="5"/>
      <c r="K15" s="5"/>
      <c r="L15" s="5"/>
      <c r="M15" s="5"/>
      <c r="N15" s="5"/>
    </row>
    <row r="16" spans="1:14" x14ac:dyDescent="0.2">
      <c r="A16" t="s">
        <v>2</v>
      </c>
      <c r="B16" s="4">
        <v>0.05</v>
      </c>
      <c r="D16" s="7">
        <f t="shared" ref="D16:D24" si="2">D15+1</f>
        <v>2</v>
      </c>
      <c r="E16" s="8">
        <v>4.7E-2</v>
      </c>
      <c r="F16" s="5">
        <f t="shared" si="0"/>
        <v>50</v>
      </c>
      <c r="G16" s="6">
        <f t="shared" si="1"/>
        <v>45.611740097007058</v>
      </c>
      <c r="I16" s="2"/>
    </row>
    <row r="17" spans="1:12" x14ac:dyDescent="0.2">
      <c r="A17" t="s">
        <v>0</v>
      </c>
      <c r="B17">
        <v>10</v>
      </c>
      <c r="D17" s="7">
        <f t="shared" si="2"/>
        <v>3</v>
      </c>
      <c r="E17" s="8">
        <v>4.7500000000000001E-2</v>
      </c>
      <c r="F17" s="5">
        <f t="shared" si="0"/>
        <v>50</v>
      </c>
      <c r="G17" s="6">
        <f t="shared" si="1"/>
        <v>43.501868316881023</v>
      </c>
      <c r="I17" s="2"/>
      <c r="K17" t="s">
        <v>15</v>
      </c>
    </row>
    <row r="18" spans="1:12" x14ac:dyDescent="0.2">
      <c r="A18" t="s">
        <v>3</v>
      </c>
      <c r="B18">
        <v>1000</v>
      </c>
      <c r="D18" s="7">
        <f t="shared" si="2"/>
        <v>4</v>
      </c>
      <c r="E18" s="8">
        <f>_xlfn.FORECAST.LINEAR(D18,C7:C8,B7:B8)</f>
        <v>4.7750000000000001E-2</v>
      </c>
      <c r="F18" s="5">
        <f t="shared" si="0"/>
        <v>50</v>
      </c>
      <c r="G18" s="6">
        <f t="shared" si="1"/>
        <v>41.489607497793237</v>
      </c>
      <c r="I18" s="2"/>
      <c r="K18" s="1">
        <v>1008.17</v>
      </c>
      <c r="L18" t="s">
        <v>12</v>
      </c>
    </row>
    <row r="19" spans="1:12" x14ac:dyDescent="0.2">
      <c r="A19" t="s">
        <v>4</v>
      </c>
      <c r="D19" s="7">
        <f t="shared" si="2"/>
        <v>5</v>
      </c>
      <c r="E19" s="8">
        <v>4.8000000000000001E-2</v>
      </c>
      <c r="F19" s="5">
        <f t="shared" si="0"/>
        <v>50</v>
      </c>
      <c r="G19" s="6">
        <f t="shared" si="1"/>
        <v>39.551557577704969</v>
      </c>
      <c r="I19" s="2"/>
      <c r="K19" s="1">
        <v>1009.92</v>
      </c>
      <c r="L19" t="s">
        <v>13</v>
      </c>
    </row>
    <row r="20" spans="1:12" x14ac:dyDescent="0.2">
      <c r="D20" s="7">
        <f t="shared" si="2"/>
        <v>6</v>
      </c>
      <c r="E20" s="8">
        <f>_xlfn.FORECAST.LINEAR(D20,C8:C9,B8:B9)</f>
        <v>4.8250000000000001E-2</v>
      </c>
      <c r="F20" s="5">
        <f t="shared" si="0"/>
        <v>50</v>
      </c>
      <c r="G20" s="6">
        <f t="shared" si="1"/>
        <v>37.686063701281441</v>
      </c>
      <c r="I20" s="2"/>
      <c r="K20" s="1">
        <v>1009.03</v>
      </c>
      <c r="L20" t="s">
        <v>11</v>
      </c>
    </row>
    <row r="21" spans="1:12" x14ac:dyDescent="0.2">
      <c r="D21" s="7">
        <f t="shared" si="2"/>
        <v>7</v>
      </c>
      <c r="E21" s="8">
        <v>4.8500000000000001E-2</v>
      </c>
      <c r="F21" s="5">
        <f t="shared" si="0"/>
        <v>50</v>
      </c>
      <c r="G21" s="6">
        <f t="shared" si="1"/>
        <v>35.891446423054923</v>
      </c>
      <c r="K21">
        <f>(K19-K18)/(2*0.01*K20)</f>
        <v>8.6716945977820287E-2</v>
      </c>
      <c r="L21" t="s">
        <v>14</v>
      </c>
    </row>
    <row r="22" spans="1:12" x14ac:dyDescent="0.2">
      <c r="D22" s="7">
        <f t="shared" si="2"/>
        <v>8</v>
      </c>
      <c r="E22" s="8">
        <f>E21+(0.05%*(1/3))</f>
        <v>4.8666666666666671E-2</v>
      </c>
      <c r="F22" s="5">
        <f t="shared" si="0"/>
        <v>50</v>
      </c>
      <c r="G22" s="6">
        <f t="shared" si="1"/>
        <v>34.187732390394075</v>
      </c>
    </row>
    <row r="23" spans="1:12" x14ac:dyDescent="0.2">
      <c r="D23" s="7">
        <f t="shared" si="2"/>
        <v>9</v>
      </c>
      <c r="E23" s="8">
        <f>E21+(0.05%*(2/3))</f>
        <v>4.8833333333333333E-2</v>
      </c>
      <c r="F23" s="5">
        <f t="shared" si="0"/>
        <v>50</v>
      </c>
      <c r="G23" s="6">
        <f t="shared" si="1"/>
        <v>32.554548168665434</v>
      </c>
    </row>
    <row r="24" spans="1:12" x14ac:dyDescent="0.2">
      <c r="D24" s="7">
        <f t="shared" si="2"/>
        <v>10</v>
      </c>
      <c r="E24" s="8">
        <v>4.9000000000000002E-2</v>
      </c>
      <c r="F24" s="5">
        <f>1000+(F23*(D24-D23))</f>
        <v>1050</v>
      </c>
      <c r="G24" s="6">
        <f t="shared" si="1"/>
        <v>650.78032899853008</v>
      </c>
    </row>
    <row r="25" spans="1:12" x14ac:dyDescent="0.2">
      <c r="D25" s="7"/>
      <c r="E25" s="8"/>
      <c r="F25" s="5"/>
      <c r="G25" s="9">
        <f>SUM(G15:G24)</f>
        <v>1009.033201819186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Nagora, Jacob</dc:creator>
  <cp:lastModifiedBy>Nagora, Jacob</cp:lastModifiedBy>
  <dcterms:created xsi:type="dcterms:W3CDTF">2026-06-24T02:37:42Z</dcterms:created>
  <dcterms:modified xsi:type="dcterms:W3CDTF">2026-06-24T23:50:56Z</dcterms:modified>
</cp:coreProperties>
</file>